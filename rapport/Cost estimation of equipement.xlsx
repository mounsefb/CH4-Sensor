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<sst xmlns="http://schemas.openxmlformats.org/spreadsheetml/2006/main" count="29" uniqueCount="27">
  <si>
    <t>Material</t>
  </si>
  <si>
    <t>Technical Sheet</t>
  </si>
  <si>
    <t>Quantity</t>
  </si>
  <si>
    <t>Unit Price (VND)</t>
  </si>
  <si>
    <t>Reference</t>
  </si>
  <si>
    <t>Site</t>
  </si>
  <si>
    <t>Module GSM SIM800</t>
  </si>
  <si>
    <t>https://www.alldatasheet.com/datasheet-pdf/pdf/1741386/SIMCOM/SIM800.html</t>
  </si>
  <si>
    <t>https://shopee.vn/product/104103144/5357097335?gsht=sjFxkDeGHTM5gwwS</t>
  </si>
  <si>
    <t>Shopee</t>
  </si>
  <si>
    <t>Régulateur DC/DC</t>
  </si>
  <si>
    <t>https://nshopvn.com/product/mach-nguon-giam-ap-dc-mini-3a/?gad_source=1</t>
  </si>
  <si>
    <t>NShopVN</t>
  </si>
  <si>
    <t>NUCLEO-L011K4</t>
  </si>
  <si>
    <t>https://www.st.com/en/evaluation-tools/nucleo-l011k4.html#documentation</t>
  </si>
  <si>
    <t>https://www.mouser.vn/ProductDetail/STMicroelectronics/NUCLEO-L011K4?qs=0DP5yvOrqYlrlLBCM7wCGw==&amp;mgh=1&amp;gad_source=4</t>
  </si>
  <si>
    <t>Mouser VN</t>
  </si>
  <si>
    <t>Li-on 3.7V 1800mAh</t>
  </si>
  <si>
    <t>https://shopee.vn/product/158692809/24420150672?gad_source=1</t>
  </si>
  <si>
    <t>Module 4 relay</t>
  </si>
  <si>
    <t>https://nshopvn.com/product/module-4-relay-voi-opto-cach-ly-5vdc/?gad_source=1</t>
  </si>
  <si>
    <t>STEVAL-ISV012V1</t>
  </si>
  <si>
    <t>https://www.mouser.vn/datasheet/2/389/steval-isv012v1-1848610.pdf</t>
  </si>
  <si>
    <t>https://www.mouser.vn/ProductDetail/STMicroelectronics/STEVAL-ISV012V1?qs=s7Teio/r9fvTFVC4RxA%2BNQ==&amp;mgh=1&amp;gad_source=1</t>
  </si>
  <si>
    <t>MQ4 Gas sensor</t>
  </si>
  <si>
    <t>https://nshopvn.com/product/cam-bien-khi-metan-mq-4/?gad_source=1</t>
  </si>
  <si>
    <t>TOTAL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</si>
</sst>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VND ]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164" xfId="0" applyAlignment="1" applyBorder="1" applyFont="1" applyNumberForma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readingOrder="0"/>
    </xf>
    <xf borderId="4" fillId="0" fontId="2" numFmtId="0" xfId="0" applyBorder="1" applyFont="1"/>
    <xf borderId="4" fillId="0" fontId="2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/>
    </xf>
    <xf borderId="0" fillId="0" fontId="9" numFmtId="164" xfId="0" applyAlignment="1" applyFont="1" applyNumberForma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ldatasheet.com/datasheet-pdf/pdf/1741386/SIMCOM/SIM800.html" TargetMode="External"/><Relationship Id="rId2" Type="http://schemas.openxmlformats.org/officeDocument/2006/relationships/hyperlink" Target="https://shopee.vn/product/104103144/5357097335?gsht=sjFxkDeGHTM5gwwS" TargetMode="External"/><Relationship Id="rId3" Type="http://schemas.openxmlformats.org/officeDocument/2006/relationships/hyperlink" Target="https://nshopvn.com/product/mach-nguon-giam-ap-dc-mini-3a/?gad_source=1" TargetMode="External"/><Relationship Id="rId4" Type="http://schemas.openxmlformats.org/officeDocument/2006/relationships/hyperlink" Target="https://www.st.com/en/evaluation-tools/nucleo-l011k4.html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nshopvn.com/product/cam-bien-khi-metan-mq-4/?gad_source=1" TargetMode="External"/><Relationship Id="rId9" Type="http://schemas.openxmlformats.org/officeDocument/2006/relationships/hyperlink" Target="https://www.mouser.vn/ProductDetail/STMicroelectronics/STEVAL-ISV012V1?qs=s7Teio/r9fvTFVC4RxA%2BNQ==&amp;mgh=1&amp;gad_source=1" TargetMode="External"/><Relationship Id="rId5" Type="http://schemas.openxmlformats.org/officeDocument/2006/relationships/hyperlink" Target="https://www.mouser.vn/ProductDetail/STMicroelectronics/NUCLEO-L011K4?qs=0DP5yvOrqYlrlLBCM7wCGw==&amp;mgh=1&amp;gad_source=4" TargetMode="External"/><Relationship Id="rId6" Type="http://schemas.openxmlformats.org/officeDocument/2006/relationships/hyperlink" Target="https://shopee.vn/product/158692809/24420150672?gad_source=1" TargetMode="External"/><Relationship Id="rId7" Type="http://schemas.openxmlformats.org/officeDocument/2006/relationships/hyperlink" Target="https://nshopvn.com/product/module-4-relay-voi-opto-cach-ly-5vdc/?gad_source=1" TargetMode="External"/><Relationship Id="rId8" Type="http://schemas.openxmlformats.org/officeDocument/2006/relationships/hyperlink" Target="https://www.mouser.vn/datasheet/2/389/steval-isv012v1-18486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52.0"/>
    <col customWidth="1" min="3" max="3" width="20.75"/>
    <col customWidth="1" min="4" max="4" width="24.0"/>
    <col customWidth="1" min="5" max="5" width="6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5">
        <v>1.0</v>
      </c>
      <c r="D2" s="6">
        <v>19600.0</v>
      </c>
      <c r="E2" s="7" t="s">
        <v>8</v>
      </c>
      <c r="F2" s="5" t="s">
        <v>9</v>
      </c>
    </row>
    <row r="3">
      <c r="A3" s="3" t="s">
        <v>10</v>
      </c>
      <c r="B3" s="8"/>
      <c r="C3" s="5">
        <v>1.0</v>
      </c>
      <c r="D3" s="6">
        <v>15000.0</v>
      </c>
      <c r="E3" s="7" t="s">
        <v>11</v>
      </c>
      <c r="F3" s="5" t="s">
        <v>12</v>
      </c>
    </row>
    <row r="4">
      <c r="A4" s="3" t="s">
        <v>13</v>
      </c>
      <c r="B4" s="9" t="s">
        <v>14</v>
      </c>
      <c r="C4" s="5">
        <v>1.0</v>
      </c>
      <c r="D4" s="6">
        <v>280000.0</v>
      </c>
      <c r="E4" s="7" t="s">
        <v>15</v>
      </c>
      <c r="F4" s="5" t="s">
        <v>16</v>
      </c>
    </row>
    <row r="5">
      <c r="A5" s="3" t="s">
        <v>17</v>
      </c>
      <c r="B5" s="10"/>
      <c r="C5" s="5">
        <v>1.0</v>
      </c>
      <c r="D5" s="6">
        <v>31500.0</v>
      </c>
      <c r="E5" s="9" t="s">
        <v>18</v>
      </c>
      <c r="F5" s="10"/>
    </row>
    <row r="6">
      <c r="A6" s="11" t="s">
        <v>19</v>
      </c>
      <c r="B6" s="12"/>
      <c r="C6" s="13">
        <v>1.0</v>
      </c>
      <c r="D6" s="14">
        <v>44000.0</v>
      </c>
      <c r="E6" s="15" t="s">
        <v>20</v>
      </c>
      <c r="F6" s="5" t="s">
        <v>12</v>
      </c>
    </row>
    <row r="7">
      <c r="A7" s="11" t="s">
        <v>21</v>
      </c>
      <c r="B7" s="16" t="s">
        <v>22</v>
      </c>
      <c r="C7" s="13">
        <v>1.0</v>
      </c>
      <c r="D7" s="17">
        <v>1650000.0</v>
      </c>
      <c r="E7" s="18" t="s">
        <v>23</v>
      </c>
      <c r="F7" s="10"/>
    </row>
    <row r="8">
      <c r="A8" s="3" t="s">
        <v>24</v>
      </c>
      <c r="B8" s="10"/>
      <c r="C8" s="5">
        <v>1.0</v>
      </c>
      <c r="D8" s="6">
        <v>40000.0</v>
      </c>
      <c r="E8" s="7" t="s">
        <v>25</v>
      </c>
      <c r="F8" s="19" t="s">
        <v>12</v>
      </c>
    </row>
    <row r="9">
      <c r="A9" s="20"/>
      <c r="B9" s="10"/>
      <c r="C9" s="21"/>
      <c r="D9" s="21"/>
      <c r="E9" s="10"/>
      <c r="F9" s="10"/>
    </row>
    <row r="10">
      <c r="A10" s="20"/>
      <c r="B10" s="10"/>
      <c r="C10" s="21"/>
      <c r="D10" s="21"/>
      <c r="E10" s="10"/>
      <c r="F10" s="10"/>
    </row>
    <row r="11">
      <c r="A11" s="20"/>
      <c r="B11" s="10"/>
      <c r="C11" s="5" t="s">
        <v>26</v>
      </c>
      <c r="D11" s="22">
        <f>SUM(D2:D8)</f>
        <v>2080100</v>
      </c>
      <c r="E11" s="8"/>
      <c r="F11" s="21"/>
    </row>
  </sheetData>
  <hyperlinks>
    <hyperlink r:id="rId1" ref="B2"/>
    <hyperlink r:id="rId2" ref="E2"/>
    <hyperlink r:id="rId3" ref="E3"/>
    <hyperlink r:id="rId4" location="documentation" ref="B4"/>
    <hyperlink r:id="rId5" ref="E4"/>
    <hyperlink r:id="rId6" ref="E5"/>
    <hyperlink r:id="rId7" ref="E6"/>
    <hyperlink r:id="rId8" ref="B7"/>
    <hyperlink r:id="rId9" ref="E7"/>
    <hyperlink r:id="rId10" ref="E8"/>
  </hyperlinks>
  <drawing r:id="rId11"/>
</worksheet>
</file>